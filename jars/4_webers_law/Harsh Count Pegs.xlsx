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nimal Minds Lab\Rat\Task Protocols\UNIPROB Tasks\Weber's Law Condition 0 - 15 Pics\"/>
    </mc:Choice>
  </mc:AlternateContent>
  <xr:revisionPtr revIDLastSave="0" documentId="13_ncr:1_{41E08E10-C2F4-4A44-8369-C08C81F1E27E}" xr6:coauthVersionLast="47" xr6:coauthVersionMax="47" xr10:uidLastSave="{00000000-0000-0000-0000-000000000000}"/>
  <bookViews>
    <workbookView xWindow="-108" yWindow="-108" windowWidth="23256" windowHeight="13896" activeTab="1" xr2:uid="{DB2EB46E-13F3-4DAE-980D-18245450DB0A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" i="1" l="1"/>
  <c r="R19" i="1"/>
  <c r="O19" i="1"/>
  <c r="U18" i="1"/>
  <c r="R18" i="1"/>
  <c r="O18" i="1"/>
  <c r="U17" i="1"/>
  <c r="R17" i="1"/>
  <c r="O17" i="1"/>
  <c r="U16" i="1"/>
  <c r="R16" i="1"/>
  <c r="O16" i="1"/>
  <c r="U15" i="1"/>
  <c r="R15" i="1"/>
  <c r="O15" i="1"/>
  <c r="U14" i="1"/>
  <c r="R14" i="1"/>
  <c r="O14" i="1"/>
  <c r="U13" i="1"/>
  <c r="R13" i="1"/>
  <c r="O13" i="1"/>
  <c r="U12" i="1"/>
  <c r="R12" i="1"/>
  <c r="O12" i="1"/>
  <c r="U11" i="1"/>
  <c r="R11" i="1"/>
  <c r="O11" i="1"/>
  <c r="U10" i="1"/>
  <c r="R10" i="1"/>
  <c r="O10" i="1"/>
  <c r="U9" i="1"/>
  <c r="R9" i="1"/>
  <c r="O9" i="1"/>
  <c r="U8" i="1"/>
  <c r="R8" i="1"/>
  <c r="O8" i="1"/>
  <c r="U7" i="1"/>
  <c r="R7" i="1"/>
  <c r="O7" i="1"/>
  <c r="U6" i="1"/>
  <c r="R6" i="1"/>
  <c r="O6" i="1"/>
  <c r="U5" i="1"/>
  <c r="R5" i="1"/>
  <c r="O5" i="1"/>
  <c r="U4" i="1"/>
  <c r="R4" i="1"/>
  <c r="O4" i="1"/>
  <c r="G17" i="1"/>
  <c r="G18" i="1"/>
  <c r="G19" i="1"/>
  <c r="G5" i="1"/>
  <c r="G6" i="1"/>
  <c r="G7" i="1"/>
  <c r="G8" i="1"/>
  <c r="G9" i="1"/>
  <c r="G10" i="1"/>
  <c r="G11" i="1"/>
  <c r="G12" i="1"/>
  <c r="G13" i="1"/>
  <c r="G14" i="1"/>
  <c r="G15" i="1"/>
  <c r="G16" i="1"/>
  <c r="G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4" i="1"/>
</calcChain>
</file>

<file path=xl/sharedStrings.xml><?xml version="1.0" encoding="utf-8"?>
<sst xmlns="http://schemas.openxmlformats.org/spreadsheetml/2006/main" count="256" uniqueCount="103">
  <si>
    <t>Rats</t>
  </si>
  <si>
    <t>Humans</t>
  </si>
  <si>
    <t>Conditions</t>
  </si>
  <si>
    <t>Left</t>
  </si>
  <si>
    <t>Right</t>
  </si>
  <si>
    <t>ROR</t>
  </si>
  <si>
    <t>Condition 2</t>
  </si>
  <si>
    <t>Condition 3</t>
  </si>
  <si>
    <t>Condition 4</t>
  </si>
  <si>
    <t>Condition 5</t>
  </si>
  <si>
    <t>Condition 6</t>
  </si>
  <si>
    <t>Condition 7</t>
  </si>
  <si>
    <t>Condition 8</t>
  </si>
  <si>
    <t>Image Numbers</t>
  </si>
  <si>
    <t>Image 1</t>
  </si>
  <si>
    <t>Image 2</t>
  </si>
  <si>
    <t>Condition 0</t>
  </si>
  <si>
    <t>Condition 1</t>
  </si>
  <si>
    <t>Condition 9</t>
  </si>
  <si>
    <t>Condition 10</t>
  </si>
  <si>
    <t>Condition 11</t>
  </si>
  <si>
    <t>Condition 12</t>
  </si>
  <si>
    <t>Condition 13</t>
  </si>
  <si>
    <t>Condition 14</t>
  </si>
  <si>
    <t>Condition 15</t>
  </si>
  <si>
    <t>Blue/Yellow</t>
  </si>
  <si>
    <t>15/15</t>
  </si>
  <si>
    <t>4/4</t>
  </si>
  <si>
    <t>4/5</t>
  </si>
  <si>
    <t>5/8</t>
  </si>
  <si>
    <t>6/8</t>
  </si>
  <si>
    <t>6/6</t>
  </si>
  <si>
    <t>7/10</t>
  </si>
  <si>
    <t>11/10</t>
  </si>
  <si>
    <t>3/7</t>
  </si>
  <si>
    <t>8/16</t>
  </si>
  <si>
    <t>7/4</t>
  </si>
  <si>
    <t>7/5</t>
  </si>
  <si>
    <t>7/11</t>
  </si>
  <si>
    <t>12/6</t>
  </si>
  <si>
    <t>6/11</t>
  </si>
  <si>
    <t>9/11</t>
  </si>
  <si>
    <t>11/11</t>
  </si>
  <si>
    <t>8/4</t>
  </si>
  <si>
    <t>4/6</t>
  </si>
  <si>
    <t>12/8</t>
  </si>
  <si>
    <t>7/3</t>
  </si>
  <si>
    <t>17/9</t>
  </si>
  <si>
    <t>4/9</t>
  </si>
  <si>
    <t>7/22</t>
  </si>
  <si>
    <t>11/3</t>
  </si>
  <si>
    <t>3/13</t>
  </si>
  <si>
    <t>19/9</t>
  </si>
  <si>
    <t>8/3</t>
  </si>
  <si>
    <t>2/11</t>
  </si>
  <si>
    <t>21/7</t>
  </si>
  <si>
    <t>8/2</t>
  </si>
  <si>
    <t>10/14</t>
  </si>
  <si>
    <t>2/7</t>
  </si>
  <si>
    <t>22/9</t>
  </si>
  <si>
    <t>12/18</t>
  </si>
  <si>
    <t>22/18</t>
  </si>
  <si>
    <t>22/22</t>
  </si>
  <si>
    <t>8/8</t>
  </si>
  <si>
    <t>9/9</t>
  </si>
  <si>
    <t>12/12</t>
  </si>
  <si>
    <t>11/13</t>
  </si>
  <si>
    <t>12/9</t>
  </si>
  <si>
    <t>11/7</t>
  </si>
  <si>
    <t>11/8</t>
  </si>
  <si>
    <t>11/19</t>
  </si>
  <si>
    <t>9/16</t>
  </si>
  <si>
    <t>13/9</t>
  </si>
  <si>
    <t>14/12</t>
  </si>
  <si>
    <t>10/7</t>
  </si>
  <si>
    <t>14/20</t>
  </si>
  <si>
    <t>14/13</t>
  </si>
  <si>
    <t>6/12</t>
  </si>
  <si>
    <t>9/4</t>
  </si>
  <si>
    <t>5/11</t>
  </si>
  <si>
    <t>16/11</t>
  </si>
  <si>
    <t>5/6</t>
  </si>
  <si>
    <t>9/19</t>
  </si>
  <si>
    <t>21/9</t>
  </si>
  <si>
    <t>20/11</t>
  </si>
  <si>
    <t>10/36</t>
  </si>
  <si>
    <t>10/5</t>
  </si>
  <si>
    <t>11/32</t>
  </si>
  <si>
    <t>24/15</t>
  </si>
  <si>
    <t>4/7</t>
  </si>
  <si>
    <t>32/16</t>
  </si>
  <si>
    <t>11/30</t>
  </si>
  <si>
    <t>1/9</t>
  </si>
  <si>
    <t>12/28</t>
  </si>
  <si>
    <t>35/14</t>
  </si>
  <si>
    <t>2/9</t>
  </si>
  <si>
    <t>32/13</t>
  </si>
  <si>
    <t>4/12</t>
  </si>
  <si>
    <t>13/31</t>
  </si>
  <si>
    <t>13/34</t>
  </si>
  <si>
    <t>35/15</t>
  </si>
  <si>
    <t>Big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</si>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</sst>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2" fontId="1" fillId="0" borderId="6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Sheet1!$B$1:$B$3</c:f>
              <c:strCache>
                <c:ptCount val="3"/>
                <c:pt idx="0">
                  <c:v>Rats</c:v>
                </c:pt>
                <c:pt idx="1">
                  <c:v>Image 1</c:v>
                </c:pt>
                <c:pt idx="2">
                  <c:v>Left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Sheet1!$A$4:$A$19</c:f>
              <c:strCache>
                <c:ptCount val="16"/>
                <c:pt idx="0">
                  <c:v>Condition 0</c:v>
                </c:pt>
                <c:pt idx="1">
                  <c:v>Condition 1</c:v>
                </c:pt>
                <c:pt idx="2">
                  <c:v>Condition 2</c:v>
                </c:pt>
                <c:pt idx="3">
                  <c:v>Condition 3</c:v>
                </c:pt>
                <c:pt idx="4">
                  <c:v>Condition 4</c:v>
                </c:pt>
                <c:pt idx="5">
                  <c:v>Condition 5</c:v>
                </c:pt>
                <c:pt idx="6">
                  <c:v>Condition 6</c:v>
                </c:pt>
                <c:pt idx="7">
                  <c:v>Condition 7</c:v>
                </c:pt>
                <c:pt idx="8">
                  <c:v>Condition 8</c:v>
                </c:pt>
                <c:pt idx="9">
                  <c:v>Condition 9</c:v>
                </c:pt>
                <c:pt idx="10">
                  <c:v>Condition 10</c:v>
                </c:pt>
                <c:pt idx="11">
                  <c:v>Condition 11</c:v>
                </c:pt>
                <c:pt idx="12">
                  <c:v>Condition 12</c:v>
                </c:pt>
                <c:pt idx="13">
                  <c:v>Condition 13</c:v>
                </c:pt>
                <c:pt idx="14">
                  <c:v>Condition 14</c:v>
                </c:pt>
                <c:pt idx="15">
                  <c:v>Condition 15</c:v>
                </c:pt>
              </c:strCache>
            </c:strRef>
          </c:cat>
          <c:val>
            <c:numRef>
              <c:f>Sheet1!$B$4:$B$19</c:f>
              <c:numCache>
                <c:formatCode>@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8-4122-9D2B-9BDBE7BB4270}"/>
            </c:ext>
          </c:extLst>
        </c:ser>
        <c:ser>
          <c:idx val="1"/>
          <c:order val="1"/>
          <c:tx>
            <c:strRef>
              <c:f>Sheet1!$C$1:$C$3</c:f>
              <c:strCache>
                <c:ptCount val="3"/>
                <c:pt idx="0">
                  <c:v>Rats</c:v>
                </c:pt>
                <c:pt idx="1">
                  <c:v>Image 1</c:v>
                </c:pt>
                <c:pt idx="2">
                  <c:v>Right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Sheet1!$A$4:$A$19</c:f>
              <c:strCache>
                <c:ptCount val="16"/>
                <c:pt idx="0">
                  <c:v>Condition 0</c:v>
                </c:pt>
                <c:pt idx="1">
                  <c:v>Condition 1</c:v>
                </c:pt>
                <c:pt idx="2">
                  <c:v>Condition 2</c:v>
                </c:pt>
                <c:pt idx="3">
                  <c:v>Condition 3</c:v>
                </c:pt>
                <c:pt idx="4">
                  <c:v>Condition 4</c:v>
                </c:pt>
                <c:pt idx="5">
                  <c:v>Condition 5</c:v>
                </c:pt>
                <c:pt idx="6">
                  <c:v>Condition 6</c:v>
                </c:pt>
                <c:pt idx="7">
                  <c:v>Condition 7</c:v>
                </c:pt>
                <c:pt idx="8">
                  <c:v>Condition 8</c:v>
                </c:pt>
                <c:pt idx="9">
                  <c:v>Condition 9</c:v>
                </c:pt>
                <c:pt idx="10">
                  <c:v>Condition 10</c:v>
                </c:pt>
                <c:pt idx="11">
                  <c:v>Condition 11</c:v>
                </c:pt>
                <c:pt idx="12">
                  <c:v>Condition 12</c:v>
                </c:pt>
                <c:pt idx="13">
                  <c:v>Condition 13</c:v>
                </c:pt>
                <c:pt idx="14">
                  <c:v>Condition 14</c:v>
                </c:pt>
                <c:pt idx="15">
                  <c:v>Condition 15</c:v>
                </c:pt>
              </c:strCache>
            </c:strRef>
          </c:cat>
          <c:val>
            <c:numRef>
              <c:f>Sheet1!$C$4:$C$19</c:f>
              <c:numCache>
                <c:formatCode>@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18-4122-9D2B-9BDBE7BB4270}"/>
            </c:ext>
          </c:extLst>
        </c:ser>
        <c:ser>
          <c:idx val="2"/>
          <c:order val="2"/>
          <c:tx>
            <c:strRef>
              <c:f>Sheet1!$D$1:$D$3</c:f>
              <c:strCache>
                <c:ptCount val="3"/>
                <c:pt idx="0">
                  <c:v>Rats</c:v>
                </c:pt>
                <c:pt idx="1">
                  <c:v>Image 1</c:v>
                </c:pt>
                <c:pt idx="2">
                  <c:v>ROR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Sheet1!$A$4:$A$19</c:f>
              <c:strCache>
                <c:ptCount val="16"/>
                <c:pt idx="0">
                  <c:v>Condition 0</c:v>
                </c:pt>
                <c:pt idx="1">
                  <c:v>Condition 1</c:v>
                </c:pt>
                <c:pt idx="2">
                  <c:v>Condition 2</c:v>
                </c:pt>
                <c:pt idx="3">
                  <c:v>Condition 3</c:v>
                </c:pt>
                <c:pt idx="4">
                  <c:v>Condition 4</c:v>
                </c:pt>
                <c:pt idx="5">
                  <c:v>Condition 5</c:v>
                </c:pt>
                <c:pt idx="6">
                  <c:v>Condition 6</c:v>
                </c:pt>
                <c:pt idx="7">
                  <c:v>Condition 7</c:v>
                </c:pt>
                <c:pt idx="8">
                  <c:v>Condition 8</c:v>
                </c:pt>
                <c:pt idx="9">
                  <c:v>Condition 9</c:v>
                </c:pt>
                <c:pt idx="10">
                  <c:v>Condition 10</c:v>
                </c:pt>
                <c:pt idx="11">
                  <c:v>Condition 11</c:v>
                </c:pt>
                <c:pt idx="12">
                  <c:v>Condition 12</c:v>
                </c:pt>
                <c:pt idx="13">
                  <c:v>Condition 13</c:v>
                </c:pt>
                <c:pt idx="14">
                  <c:v>Condition 14</c:v>
                </c:pt>
                <c:pt idx="15">
                  <c:v>Condition 15</c:v>
                </c:pt>
              </c:strCache>
            </c:strRef>
          </c:cat>
          <c:val>
            <c:numRef>
              <c:f>Sheet1!$D$4:$D$19</c:f>
              <c:numCache>
                <c:formatCode>0.00</c:formatCode>
                <c:ptCount val="16"/>
                <c:pt idx="0">
                  <c:v>1.2222222222222223</c:v>
                </c:pt>
                <c:pt idx="1">
                  <c:v>1.2222222222222223</c:v>
                </c:pt>
                <c:pt idx="2">
                  <c:v>1.1818181818181819</c:v>
                </c:pt>
                <c:pt idx="3">
                  <c:v>1.6296296296296295</c:v>
                </c:pt>
                <c:pt idx="4">
                  <c:v>2.2448979591836733</c:v>
                </c:pt>
                <c:pt idx="5">
                  <c:v>2.3111111111111109</c:v>
                </c:pt>
                <c:pt idx="6">
                  <c:v>2.0408163265306123</c:v>
                </c:pt>
                <c:pt idx="7">
                  <c:v>2.1538461538461537</c:v>
                </c:pt>
                <c:pt idx="8">
                  <c:v>1.4393939393939394</c:v>
                </c:pt>
                <c:pt idx="9">
                  <c:v>8.1666666666666661</c:v>
                </c:pt>
                <c:pt idx="10">
                  <c:v>8.1</c:v>
                </c:pt>
                <c:pt idx="11">
                  <c:v>2.4</c:v>
                </c:pt>
                <c:pt idx="12">
                  <c:v>6.1363636363636367</c:v>
                </c:pt>
                <c:pt idx="13">
                  <c:v>22.5</c:v>
                </c:pt>
                <c:pt idx="14">
                  <c:v>0.52991452991452992</c:v>
                </c:pt>
                <c:pt idx="1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18-4122-9D2B-9BDBE7BB4270}"/>
            </c:ext>
          </c:extLst>
        </c:ser>
        <c:ser>
          <c:idx val="3"/>
          <c:order val="3"/>
          <c:tx>
            <c:strRef>
              <c:f>Sheet1!$E$1:$E$3</c:f>
              <c:strCache>
                <c:ptCount val="3"/>
                <c:pt idx="0">
                  <c:v>Rats</c:v>
                </c:pt>
                <c:pt idx="1">
                  <c:v>Image 2</c:v>
                </c:pt>
                <c:pt idx="2">
                  <c:v>Left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Sheet1!$A$4:$A$19</c:f>
              <c:strCache>
                <c:ptCount val="16"/>
                <c:pt idx="0">
                  <c:v>Condition 0</c:v>
                </c:pt>
                <c:pt idx="1">
                  <c:v>Condition 1</c:v>
                </c:pt>
                <c:pt idx="2">
                  <c:v>Condition 2</c:v>
                </c:pt>
                <c:pt idx="3">
                  <c:v>Condition 3</c:v>
                </c:pt>
                <c:pt idx="4">
                  <c:v>Condition 4</c:v>
                </c:pt>
                <c:pt idx="5">
                  <c:v>Condition 5</c:v>
                </c:pt>
                <c:pt idx="6">
                  <c:v>Condition 6</c:v>
                </c:pt>
                <c:pt idx="7">
                  <c:v>Condition 7</c:v>
                </c:pt>
                <c:pt idx="8">
                  <c:v>Condition 8</c:v>
                </c:pt>
                <c:pt idx="9">
                  <c:v>Condition 9</c:v>
                </c:pt>
                <c:pt idx="10">
                  <c:v>Condition 10</c:v>
                </c:pt>
                <c:pt idx="11">
                  <c:v>Condition 11</c:v>
                </c:pt>
                <c:pt idx="12">
                  <c:v>Condition 12</c:v>
                </c:pt>
                <c:pt idx="13">
                  <c:v>Condition 13</c:v>
                </c:pt>
                <c:pt idx="14">
                  <c:v>Condition 14</c:v>
                </c:pt>
                <c:pt idx="15">
                  <c:v>Condition 15</c:v>
                </c:pt>
              </c:strCache>
            </c:strRef>
          </c:cat>
          <c:val>
            <c:numRef>
              <c:f>Sheet1!$E$4:$E$19</c:f>
              <c:numCache>
                <c:formatCode>@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18-4122-9D2B-9BDBE7BB4270}"/>
            </c:ext>
          </c:extLst>
        </c:ser>
        <c:ser>
          <c:idx val="4"/>
          <c:order val="4"/>
          <c:tx>
            <c:strRef>
              <c:f>Sheet1!$F$1:$F$3</c:f>
              <c:strCache>
                <c:ptCount val="3"/>
                <c:pt idx="0">
                  <c:v>Rats</c:v>
                </c:pt>
                <c:pt idx="1">
                  <c:v>Image 2</c:v>
                </c:pt>
                <c:pt idx="2">
                  <c:v>Right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Sheet1!$A$4:$A$19</c:f>
              <c:strCache>
                <c:ptCount val="16"/>
                <c:pt idx="0">
                  <c:v>Condition 0</c:v>
                </c:pt>
                <c:pt idx="1">
                  <c:v>Condition 1</c:v>
                </c:pt>
                <c:pt idx="2">
                  <c:v>Condition 2</c:v>
                </c:pt>
                <c:pt idx="3">
                  <c:v>Condition 3</c:v>
                </c:pt>
                <c:pt idx="4">
                  <c:v>Condition 4</c:v>
                </c:pt>
                <c:pt idx="5">
                  <c:v>Condition 5</c:v>
                </c:pt>
                <c:pt idx="6">
                  <c:v>Condition 6</c:v>
                </c:pt>
                <c:pt idx="7">
                  <c:v>Condition 7</c:v>
                </c:pt>
                <c:pt idx="8">
                  <c:v>Condition 8</c:v>
                </c:pt>
                <c:pt idx="9">
                  <c:v>Condition 9</c:v>
                </c:pt>
                <c:pt idx="10">
                  <c:v>Condition 10</c:v>
                </c:pt>
                <c:pt idx="11">
                  <c:v>Condition 11</c:v>
                </c:pt>
                <c:pt idx="12">
                  <c:v>Condition 12</c:v>
                </c:pt>
                <c:pt idx="13">
                  <c:v>Condition 13</c:v>
                </c:pt>
                <c:pt idx="14">
                  <c:v>Condition 14</c:v>
                </c:pt>
                <c:pt idx="15">
                  <c:v>Condition 15</c:v>
                </c:pt>
              </c:strCache>
            </c:strRef>
          </c:cat>
          <c:val>
            <c:numRef>
              <c:f>Sheet1!$F$4:$F$19</c:f>
              <c:numCache>
                <c:formatCode>@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18-4122-9D2B-9BDBE7BB4270}"/>
            </c:ext>
          </c:extLst>
        </c:ser>
        <c:ser>
          <c:idx val="5"/>
          <c:order val="5"/>
          <c:tx>
            <c:strRef>
              <c:f>Sheet1!$G$1:$G$3</c:f>
              <c:strCache>
                <c:ptCount val="3"/>
                <c:pt idx="0">
                  <c:v>Rats</c:v>
                </c:pt>
                <c:pt idx="1">
                  <c:v>Image 2</c:v>
                </c:pt>
                <c:pt idx="2">
                  <c:v>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Sheet1!$A$4:$A$19</c:f>
              <c:strCache>
                <c:ptCount val="16"/>
                <c:pt idx="0">
                  <c:v>Condition 0</c:v>
                </c:pt>
                <c:pt idx="1">
                  <c:v>Condition 1</c:v>
                </c:pt>
                <c:pt idx="2">
                  <c:v>Condition 2</c:v>
                </c:pt>
                <c:pt idx="3">
                  <c:v>Condition 3</c:v>
                </c:pt>
                <c:pt idx="4">
                  <c:v>Condition 4</c:v>
                </c:pt>
                <c:pt idx="5">
                  <c:v>Condition 5</c:v>
                </c:pt>
                <c:pt idx="6">
                  <c:v>Condition 6</c:v>
                </c:pt>
                <c:pt idx="7">
                  <c:v>Condition 7</c:v>
                </c:pt>
                <c:pt idx="8">
                  <c:v>Condition 8</c:v>
                </c:pt>
                <c:pt idx="9">
                  <c:v>Condition 9</c:v>
                </c:pt>
                <c:pt idx="10">
                  <c:v>Condition 10</c:v>
                </c:pt>
                <c:pt idx="11">
                  <c:v>Condition 11</c:v>
                </c:pt>
                <c:pt idx="12">
                  <c:v>Condition 12</c:v>
                </c:pt>
                <c:pt idx="13">
                  <c:v>Condition 13</c:v>
                </c:pt>
                <c:pt idx="14">
                  <c:v>Condition 14</c:v>
                </c:pt>
                <c:pt idx="15">
                  <c:v>Condition 15</c:v>
                </c:pt>
              </c:strCache>
            </c:strRef>
          </c:cat>
          <c:val>
            <c:numRef>
              <c:f>Sheet1!$G$4:$G$19</c:f>
              <c:numCache>
                <c:formatCode>0.00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0.63636363636363635</c:v>
                </c:pt>
                <c:pt idx="4">
                  <c:v>0.40909090909090912</c:v>
                </c:pt>
                <c:pt idx="5">
                  <c:v>0.54545454545454541</c:v>
                </c:pt>
                <c:pt idx="6">
                  <c:v>0.46666666666666667</c:v>
                </c:pt>
                <c:pt idx="7">
                  <c:v>0.3125</c:v>
                </c:pt>
                <c:pt idx="8">
                  <c:v>0.33834586466165412</c:v>
                </c:pt>
                <c:pt idx="9">
                  <c:v>0.15714285714285714</c:v>
                </c:pt>
                <c:pt idx="10">
                  <c:v>0.171875</c:v>
                </c:pt>
                <c:pt idx="11">
                  <c:v>0.2857142857142857</c:v>
                </c:pt>
                <c:pt idx="12">
                  <c:v>3.8571428571428572</c:v>
                </c:pt>
                <c:pt idx="13">
                  <c:v>4.5138888888888888E-2</c:v>
                </c:pt>
                <c:pt idx="14">
                  <c:v>9.5588235294117641E-2</c:v>
                </c:pt>
                <c:pt idx="15">
                  <c:v>0.19047619047619047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18-4122-9D2B-9BDBE7BB4270}"/>
            </c:ext>
          </c:extLst>
        </c:ser>
        <c:ser>
          <c:idx val="6"/>
          <c:order val="6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Sheet1!$A$4:$A$19</c:f>
              <c:strCache>
                <c:ptCount val="16"/>
                <c:pt idx="0">
                  <c:v>Condition 0</c:v>
                </c:pt>
                <c:pt idx="1">
                  <c:v>Condition 1</c:v>
                </c:pt>
                <c:pt idx="2">
                  <c:v>Condition 2</c:v>
                </c:pt>
                <c:pt idx="3">
                  <c:v>Condition 3</c:v>
                </c:pt>
                <c:pt idx="4">
                  <c:v>Condition 4</c:v>
                </c:pt>
                <c:pt idx="5">
                  <c:v>Condition 5</c:v>
                </c:pt>
                <c:pt idx="6">
                  <c:v>Condition 6</c:v>
                </c:pt>
                <c:pt idx="7">
                  <c:v>Condition 7</c:v>
                </c:pt>
                <c:pt idx="8">
                  <c:v>Condition 8</c:v>
                </c:pt>
                <c:pt idx="9">
                  <c:v>Condition 9</c:v>
                </c:pt>
                <c:pt idx="10">
                  <c:v>Condition 10</c:v>
                </c:pt>
                <c:pt idx="11">
                  <c:v>Condition 11</c:v>
                </c:pt>
                <c:pt idx="12">
                  <c:v>Condition 12</c:v>
                </c:pt>
                <c:pt idx="13">
                  <c:v>Condition 13</c:v>
                </c:pt>
                <c:pt idx="14">
                  <c:v>Condition 14</c:v>
                </c:pt>
                <c:pt idx="15">
                  <c:v>Condition 15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18-4122-9D2B-9BDBE7BB4270}"/>
            </c:ext>
          </c:extLst>
        </c:ser>
        <c:ser>
          <c:idx val="7"/>
          <c:order val="7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Sheet1!$A$4:$A$19</c:f>
              <c:strCache>
                <c:ptCount val="16"/>
                <c:pt idx="0">
                  <c:v>Condition 0</c:v>
                </c:pt>
                <c:pt idx="1">
                  <c:v>Condition 1</c:v>
                </c:pt>
                <c:pt idx="2">
                  <c:v>Condition 2</c:v>
                </c:pt>
                <c:pt idx="3">
                  <c:v>Condition 3</c:v>
                </c:pt>
                <c:pt idx="4">
                  <c:v>Condition 4</c:v>
                </c:pt>
                <c:pt idx="5">
                  <c:v>Condition 5</c:v>
                </c:pt>
                <c:pt idx="6">
                  <c:v>Condition 6</c:v>
                </c:pt>
                <c:pt idx="7">
                  <c:v>Condition 7</c:v>
                </c:pt>
                <c:pt idx="8">
                  <c:v>Condition 8</c:v>
                </c:pt>
                <c:pt idx="9">
                  <c:v>Condition 9</c:v>
                </c:pt>
                <c:pt idx="10">
                  <c:v>Condition 10</c:v>
                </c:pt>
                <c:pt idx="11">
                  <c:v>Condition 11</c:v>
                </c:pt>
                <c:pt idx="12">
                  <c:v>Condition 12</c:v>
                </c:pt>
                <c:pt idx="13">
                  <c:v>Condition 13</c:v>
                </c:pt>
                <c:pt idx="14">
                  <c:v>Condition 14</c:v>
                </c:pt>
                <c:pt idx="15">
                  <c:v>Condition 15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018-4122-9D2B-9BDBE7BB4270}"/>
            </c:ext>
          </c:extLst>
        </c:ser>
        <c:ser>
          <c:idx val="8"/>
          <c:order val="8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Sheet1!$A$4:$A$19</c:f>
              <c:strCache>
                <c:ptCount val="16"/>
                <c:pt idx="0">
                  <c:v>Condition 0</c:v>
                </c:pt>
                <c:pt idx="1">
                  <c:v>Condition 1</c:v>
                </c:pt>
                <c:pt idx="2">
                  <c:v>Condition 2</c:v>
                </c:pt>
                <c:pt idx="3">
                  <c:v>Condition 3</c:v>
                </c:pt>
                <c:pt idx="4">
                  <c:v>Condition 4</c:v>
                </c:pt>
                <c:pt idx="5">
                  <c:v>Condition 5</c:v>
                </c:pt>
                <c:pt idx="6">
                  <c:v>Condition 6</c:v>
                </c:pt>
                <c:pt idx="7">
                  <c:v>Condition 7</c:v>
                </c:pt>
                <c:pt idx="8">
                  <c:v>Condition 8</c:v>
                </c:pt>
                <c:pt idx="9">
                  <c:v>Condition 9</c:v>
                </c:pt>
                <c:pt idx="10">
                  <c:v>Condition 10</c:v>
                </c:pt>
                <c:pt idx="11">
                  <c:v>Condition 11</c:v>
                </c:pt>
                <c:pt idx="12">
                  <c:v>Condition 12</c:v>
                </c:pt>
                <c:pt idx="13">
                  <c:v>Condition 13</c:v>
                </c:pt>
                <c:pt idx="14">
                  <c:v>Condition 14</c:v>
                </c:pt>
                <c:pt idx="15">
                  <c:v>Condition 15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18-4122-9D2B-9BDBE7BB4270}"/>
            </c:ext>
          </c:extLst>
        </c:ser>
        <c:ser>
          <c:idx val="9"/>
          <c:order val="9"/>
          <c:tx>
            <c:strRef>
              <c:f>Sheet1!$H$1:$H$3</c:f>
              <c:strCache>
                <c:ptCount val="3"/>
                <c:pt idx="0">
                  <c:v>Humans</c:v>
                </c:pt>
                <c:pt idx="2">
                  <c:v>Left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Sheet1!$A$4:$A$19</c:f>
              <c:strCache>
                <c:ptCount val="16"/>
                <c:pt idx="0">
                  <c:v>Condition 0</c:v>
                </c:pt>
                <c:pt idx="1">
                  <c:v>Condition 1</c:v>
                </c:pt>
                <c:pt idx="2">
                  <c:v>Condition 2</c:v>
                </c:pt>
                <c:pt idx="3">
                  <c:v>Condition 3</c:v>
                </c:pt>
                <c:pt idx="4">
                  <c:v>Condition 4</c:v>
                </c:pt>
                <c:pt idx="5">
                  <c:v>Condition 5</c:v>
                </c:pt>
                <c:pt idx="6">
                  <c:v>Condition 6</c:v>
                </c:pt>
                <c:pt idx="7">
                  <c:v>Condition 7</c:v>
                </c:pt>
                <c:pt idx="8">
                  <c:v>Condition 8</c:v>
                </c:pt>
                <c:pt idx="9">
                  <c:v>Condition 9</c:v>
                </c:pt>
                <c:pt idx="10">
                  <c:v>Condition 10</c:v>
                </c:pt>
                <c:pt idx="11">
                  <c:v>Condition 11</c:v>
                </c:pt>
                <c:pt idx="12">
                  <c:v>Condition 12</c:v>
                </c:pt>
                <c:pt idx="13">
                  <c:v>Condition 13</c:v>
                </c:pt>
                <c:pt idx="14">
                  <c:v>Condition 14</c:v>
                </c:pt>
                <c:pt idx="15">
                  <c:v>Condition 15</c:v>
                </c:pt>
              </c:strCache>
            </c:strRef>
          </c:cat>
          <c:val>
            <c:numRef>
              <c:f>Sheet1!$H$4:$H$19</c:f>
              <c:numCache>
                <c:formatCode>@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018-4122-9D2B-9BDBE7BB4270}"/>
            </c:ext>
          </c:extLst>
        </c:ser>
        <c:ser>
          <c:idx val="10"/>
          <c:order val="10"/>
          <c:tx>
            <c:strRef>
              <c:f>Sheet1!$I$1:$I$3</c:f>
              <c:strCache>
                <c:ptCount val="3"/>
                <c:pt idx="0">
                  <c:v>Humans</c:v>
                </c:pt>
                <c:pt idx="2">
                  <c:v>Right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Sheet1!$A$4:$A$19</c:f>
              <c:strCache>
                <c:ptCount val="16"/>
                <c:pt idx="0">
                  <c:v>Condition 0</c:v>
                </c:pt>
                <c:pt idx="1">
                  <c:v>Condition 1</c:v>
                </c:pt>
                <c:pt idx="2">
                  <c:v>Condition 2</c:v>
                </c:pt>
                <c:pt idx="3">
                  <c:v>Condition 3</c:v>
                </c:pt>
                <c:pt idx="4">
                  <c:v>Condition 4</c:v>
                </c:pt>
                <c:pt idx="5">
                  <c:v>Condition 5</c:v>
                </c:pt>
                <c:pt idx="6">
                  <c:v>Condition 6</c:v>
                </c:pt>
                <c:pt idx="7">
                  <c:v>Condition 7</c:v>
                </c:pt>
                <c:pt idx="8">
                  <c:v>Condition 8</c:v>
                </c:pt>
                <c:pt idx="9">
                  <c:v>Condition 9</c:v>
                </c:pt>
                <c:pt idx="10">
                  <c:v>Condition 10</c:v>
                </c:pt>
                <c:pt idx="11">
                  <c:v>Condition 11</c:v>
                </c:pt>
                <c:pt idx="12">
                  <c:v>Condition 12</c:v>
                </c:pt>
                <c:pt idx="13">
                  <c:v>Condition 13</c:v>
                </c:pt>
                <c:pt idx="14">
                  <c:v>Condition 14</c:v>
                </c:pt>
                <c:pt idx="15">
                  <c:v>Condition 15</c:v>
                </c:pt>
              </c:strCache>
            </c:strRef>
          </c:cat>
          <c:val>
            <c:numRef>
              <c:f>Sheet1!$I$4:$I$19</c:f>
              <c:numCache>
                <c:formatCode>@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18-4122-9D2B-9BDBE7BB4270}"/>
            </c:ext>
          </c:extLst>
        </c:ser>
        <c:ser>
          <c:idx val="11"/>
          <c:order val="11"/>
          <c:tx>
            <c:strRef>
              <c:f>Sheet1!$J$1:$J$3</c:f>
              <c:strCache>
                <c:ptCount val="3"/>
                <c:pt idx="0">
                  <c:v>Humans</c:v>
                </c:pt>
                <c:pt idx="2">
                  <c:v>ROR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Sheet1!$A$4:$A$19</c:f>
              <c:strCache>
                <c:ptCount val="16"/>
                <c:pt idx="0">
                  <c:v>Condition 0</c:v>
                </c:pt>
                <c:pt idx="1">
                  <c:v>Condition 1</c:v>
                </c:pt>
                <c:pt idx="2">
                  <c:v>Condition 2</c:v>
                </c:pt>
                <c:pt idx="3">
                  <c:v>Condition 3</c:v>
                </c:pt>
                <c:pt idx="4">
                  <c:v>Condition 4</c:v>
                </c:pt>
                <c:pt idx="5">
                  <c:v>Condition 5</c:v>
                </c:pt>
                <c:pt idx="6">
                  <c:v>Condition 6</c:v>
                </c:pt>
                <c:pt idx="7">
                  <c:v>Condition 7</c:v>
                </c:pt>
                <c:pt idx="8">
                  <c:v>Condition 8</c:v>
                </c:pt>
                <c:pt idx="9">
                  <c:v>Condition 9</c:v>
                </c:pt>
                <c:pt idx="10">
                  <c:v>Condition 10</c:v>
                </c:pt>
                <c:pt idx="11">
                  <c:v>Condition 11</c:v>
                </c:pt>
                <c:pt idx="12">
                  <c:v>Condition 12</c:v>
                </c:pt>
                <c:pt idx="13">
                  <c:v>Condition 13</c:v>
                </c:pt>
                <c:pt idx="14">
                  <c:v>Condition 14</c:v>
                </c:pt>
                <c:pt idx="15">
                  <c:v>Condition 15</c:v>
                </c:pt>
              </c:strCache>
            </c:strRef>
          </c:cat>
          <c:val>
            <c:numRef>
              <c:f>Sheet1!$J$4:$J$19</c:f>
              <c:numCache>
                <c:formatCode>0.00</c:formatCode>
                <c:ptCount val="16"/>
                <c:pt idx="0">
                  <c:v>1.25</c:v>
                </c:pt>
                <c:pt idx="1">
                  <c:v>1.3333333333333333</c:v>
                </c:pt>
                <c:pt idx="2">
                  <c:v>1.4285714285714286</c:v>
                </c:pt>
                <c:pt idx="3">
                  <c:v>0.90909090909090906</c:v>
                </c:pt>
                <c:pt idx="4">
                  <c:v>0.2857142857142857</c:v>
                </c:pt>
                <c:pt idx="5">
                  <c:v>0.21428571428571427</c:v>
                </c:pt>
                <c:pt idx="6">
                  <c:v>0.27272727272727271</c:v>
                </c:pt>
                <c:pt idx="7">
                  <c:v>0.44444444444444442</c:v>
                </c:pt>
                <c:pt idx="8">
                  <c:v>3.6666666666666665</c:v>
                </c:pt>
                <c:pt idx="9">
                  <c:v>4.25</c:v>
                </c:pt>
                <c:pt idx="10">
                  <c:v>8.6776859504132234E-2</c:v>
                </c:pt>
                <c:pt idx="11">
                  <c:v>0.10931174089068826</c:v>
                </c:pt>
                <c:pt idx="12">
                  <c:v>0.11931818181818182</c:v>
                </c:pt>
                <c:pt idx="13">
                  <c:v>6.0606060606060608E-2</c:v>
                </c:pt>
                <c:pt idx="14">
                  <c:v>5.6</c:v>
                </c:pt>
                <c:pt idx="15">
                  <c:v>0.11688311688311688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018-4122-9D2B-9BDBE7BB4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146672"/>
        <c:axId val="752147632"/>
      </c:barChart>
      <c:catAx>
        <c:axId val="75214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147632"/>
        <c:crosses val="autoZero"/>
        <c:auto val="1"/>
        <c:lblAlgn val="ctr"/>
        <c:lblOffset val="100"/>
        <c:noMultiLvlLbl val="0"/>
      </c:catAx>
      <c:valAx>
        <c:axId val="7521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14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CC681CA-CFF2-447A-AA11-000E7656FDB1}">
  <sheetPr/>
  <sheetViews>
    <sheetView zoomScale="12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7437120" cy="48463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8B8526-7622-A559-B8C7-E0D6734BE8F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77C72-0EF1-4528-A813-DC7D8A2BC68F}">
  <dimension ref="A1:U19"/>
  <sheetViews>
    <sheetView tabSelected="1" zoomScale="130" zoomScaleNormal="130" workbookViewId="0">
      <selection activeCell="M4" sqref="M4"/>
    </sheetView>
  </sheetViews>
  <sheetFormatPr defaultRowHeight="14.4" x14ac:dyDescent="0.3"/>
  <cols>
    <col min="1" max="1" width="15.6640625" bestFit="1" customWidth="1"/>
    <col min="2" max="3" width="6.109375" bestFit="1" customWidth="1"/>
    <col min="4" max="4" width="6" bestFit="1" customWidth="1"/>
    <col min="5" max="6" width="6.109375" bestFit="1" customWidth="1"/>
    <col min="7" max="7" width="5.109375" bestFit="1" customWidth="1"/>
    <col min="8" max="9" width="6.109375" bestFit="1" customWidth="1"/>
    <col min="10" max="10" width="5.109375" bestFit="1" customWidth="1"/>
    <col min="12" max="12" width="15.6640625" bestFit="1" customWidth="1"/>
    <col min="13" max="14" width="6.109375" bestFit="1" customWidth="1"/>
    <col min="15" max="15" width="6" bestFit="1" customWidth="1"/>
    <col min="16" max="17" width="6.109375" bestFit="1" customWidth="1"/>
    <col min="18" max="18" width="5.109375" bestFit="1" customWidth="1"/>
    <col min="19" max="20" width="6.109375" bestFit="1" customWidth="1"/>
    <col min="21" max="21" width="5.109375" bestFit="1" customWidth="1"/>
  </cols>
  <sheetData>
    <row r="1" spans="1:21" x14ac:dyDescent="0.3">
      <c r="A1" s="1" t="s">
        <v>25</v>
      </c>
      <c r="B1" s="13" t="s">
        <v>0</v>
      </c>
      <c r="C1" s="14"/>
      <c r="D1" s="14"/>
      <c r="E1" s="14"/>
      <c r="F1" s="14"/>
      <c r="G1" s="14"/>
      <c r="H1" s="13" t="s">
        <v>1</v>
      </c>
      <c r="I1" s="14"/>
      <c r="J1" s="15"/>
      <c r="L1" s="1" t="s">
        <v>25</v>
      </c>
      <c r="M1" s="13" t="s">
        <v>0</v>
      </c>
      <c r="N1" s="14"/>
      <c r="O1" s="14"/>
      <c r="P1" s="14"/>
      <c r="Q1" s="14"/>
      <c r="R1" s="14"/>
      <c r="S1" s="13" t="s">
        <v>1</v>
      </c>
      <c r="T1" s="14"/>
      <c r="U1" s="15"/>
    </row>
    <row r="2" spans="1:21" x14ac:dyDescent="0.3">
      <c r="A2" s="2" t="s">
        <v>13</v>
      </c>
      <c r="B2" s="16" t="s">
        <v>14</v>
      </c>
      <c r="C2" s="17"/>
      <c r="D2" s="17"/>
      <c r="E2" s="17" t="s">
        <v>15</v>
      </c>
      <c r="F2" s="17"/>
      <c r="G2" s="17"/>
      <c r="H2" s="16"/>
      <c r="I2" s="17"/>
      <c r="J2" s="18"/>
      <c r="L2" s="2" t="s">
        <v>13</v>
      </c>
      <c r="M2" s="16" t="s">
        <v>14</v>
      </c>
      <c r="N2" s="17"/>
      <c r="O2" s="17"/>
      <c r="P2" s="17" t="s">
        <v>15</v>
      </c>
      <c r="Q2" s="17"/>
      <c r="R2" s="17"/>
      <c r="S2" s="16"/>
      <c r="T2" s="17"/>
      <c r="U2" s="18"/>
    </row>
    <row r="3" spans="1:21" ht="28.8" x14ac:dyDescent="0.3">
      <c r="A3" s="2" t="s">
        <v>2</v>
      </c>
      <c r="B3" s="6" t="s">
        <v>3</v>
      </c>
      <c r="C3" s="7" t="s">
        <v>4</v>
      </c>
      <c r="D3" s="7" t="s">
        <v>5</v>
      </c>
      <c r="E3" s="7" t="s">
        <v>3</v>
      </c>
      <c r="F3" s="7" t="s">
        <v>4</v>
      </c>
      <c r="G3" s="7" t="s">
        <v>5</v>
      </c>
      <c r="H3" s="6" t="s">
        <v>3</v>
      </c>
      <c r="I3" s="7" t="s">
        <v>4</v>
      </c>
      <c r="J3" s="11" t="s">
        <v>5</v>
      </c>
      <c r="L3" s="2" t="s">
        <v>2</v>
      </c>
      <c r="M3" s="6" t="s">
        <v>101</v>
      </c>
      <c r="N3" s="7" t="s">
        <v>102</v>
      </c>
      <c r="O3" s="7" t="s">
        <v>5</v>
      </c>
      <c r="P3" s="7" t="s">
        <v>101</v>
      </c>
      <c r="Q3" s="7" t="s">
        <v>102</v>
      </c>
      <c r="R3" s="7" t="s">
        <v>5</v>
      </c>
      <c r="S3" s="6" t="s">
        <v>101</v>
      </c>
      <c r="T3" s="7" t="s">
        <v>102</v>
      </c>
      <c r="U3" s="11" t="s">
        <v>5</v>
      </c>
    </row>
    <row r="4" spans="1:21" x14ac:dyDescent="0.3">
      <c r="A4" s="2" t="s">
        <v>16</v>
      </c>
      <c r="B4" s="5" t="s">
        <v>61</v>
      </c>
      <c r="C4" s="8" t="s">
        <v>31</v>
      </c>
      <c r="D4" s="4">
        <f xml:space="preserve"> (VALUE(LEFT(B4, FIND("/", B4) - 1)) * VALUE(MID(C4, FIND("/", C4) + 1, LEN(C4)))) / (VALUE(MID(B4, FIND("/", B4) + 1, LEN(B4))) * VALUE(LEFT(C4, FIND("/", C4) - 1)))</f>
        <v>1.2222222222222223</v>
      </c>
      <c r="E4" s="8" t="s">
        <v>31</v>
      </c>
      <c r="F4" s="8" t="s">
        <v>62</v>
      </c>
      <c r="G4" s="4">
        <f xml:space="preserve"> (VALUE(LEFT(E4, FIND("/", E4) - 1)) * VALUE(MID(F4, FIND("/", F4) + 1, LEN(F4)))) / (VALUE(MID(E4, FIND("/", E4) + 1, LEN(E4))) * VALUE(LEFT(F4, FIND("/", F4) - 1)))</f>
        <v>1</v>
      </c>
      <c r="H4" s="5" t="s">
        <v>26</v>
      </c>
      <c r="I4" s="8" t="s">
        <v>28</v>
      </c>
      <c r="J4" s="4">
        <f xml:space="preserve"> (VALUE(LEFT(H4, FIND("/", H4) - 1)) * VALUE(MID(I4, FIND("/", I4) + 1, LEN(I4)))) / (VALUE(MID(H4, FIND("/", H4) + 1, LEN(H4))) * VALUE(LEFT(I4, FIND("/", I4) - 1)))</f>
        <v>1.25</v>
      </c>
      <c r="L4" s="2" t="s">
        <v>16</v>
      </c>
      <c r="M4" s="5" t="s">
        <v>61</v>
      </c>
      <c r="N4" s="8" t="s">
        <v>31</v>
      </c>
      <c r="O4" s="4">
        <f xml:space="preserve"> (VALUE(LEFT(M4, FIND("/", M4) - 1)) * VALUE(MID(N4, FIND("/", N4) + 1, LEN(N4)))) / (VALUE(MID(M4, FIND("/", M4) + 1, LEN(M4))) * VALUE(LEFT(N4, FIND("/", N4) - 1)))</f>
        <v>1.2222222222222223</v>
      </c>
      <c r="P4" s="8" t="s">
        <v>31</v>
      </c>
      <c r="Q4" s="8" t="s">
        <v>62</v>
      </c>
      <c r="R4" s="4">
        <f xml:space="preserve"> (VALUE(LEFT(P4, FIND("/", P4) - 1)) * VALUE(MID(Q4, FIND("/", Q4) + 1, LEN(Q4)))) / (VALUE(MID(P4, FIND("/", P4) + 1, LEN(P4))) * VALUE(LEFT(Q4, FIND("/", Q4) - 1)))</f>
        <v>1</v>
      </c>
      <c r="S4" s="5" t="s">
        <v>26</v>
      </c>
      <c r="T4" s="8" t="s">
        <v>28</v>
      </c>
      <c r="U4" s="4">
        <f xml:space="preserve"> (VALUE(LEFT(S4, FIND("/", S4) - 1)) * VALUE(MID(T4, FIND("/", T4) + 1, LEN(T4)))) / (VALUE(MID(S4, FIND("/", S4) + 1, LEN(S4))) * VALUE(LEFT(T4, FIND("/", T4) - 1)))</f>
        <v>1.25</v>
      </c>
    </row>
    <row r="5" spans="1:21" x14ac:dyDescent="0.3">
      <c r="A5" s="2" t="s">
        <v>17</v>
      </c>
      <c r="B5" s="5" t="s">
        <v>63</v>
      </c>
      <c r="C5" s="8" t="s">
        <v>41</v>
      </c>
      <c r="D5" s="4">
        <f xml:space="preserve"> (VALUE(LEFT(B5, FIND("/", B5) - 1)) * VALUE(MID(C5, FIND("/", C5) + 1, LEN(C5)))) / (VALUE(MID(B5, FIND("/", B5) + 1, LEN(B5))) * VALUE(LEFT(C5, FIND("/", C5) - 1)))</f>
        <v>1.2222222222222223</v>
      </c>
      <c r="E5" s="8" t="s">
        <v>65</v>
      </c>
      <c r="F5" s="8" t="s">
        <v>63</v>
      </c>
      <c r="G5" s="4">
        <f t="shared" ref="G5:G19" si="0" xml:space="preserve"> (VALUE(LEFT(E5, FIND("/", E5) - 1)) * VALUE(MID(F5, FIND("/", F5) + 1, LEN(F5)))) / (VALUE(MID(E5, FIND("/", E5) + 1, LEN(E5))) * VALUE(LEFT(F5, FIND("/", F5) - 1)))</f>
        <v>1</v>
      </c>
      <c r="H5" s="5" t="s">
        <v>27</v>
      </c>
      <c r="I5" s="8" t="s">
        <v>30</v>
      </c>
      <c r="J5" s="4">
        <f t="shared" ref="J5:J19" si="1" xml:space="preserve"> (VALUE(LEFT(H5, FIND("/", H5) - 1)) * VALUE(MID(I5, FIND("/", I5) + 1, LEN(I5)))) / (VALUE(MID(H5, FIND("/", H5) + 1, LEN(H5))) * VALUE(LEFT(I5, FIND("/", I5) - 1)))</f>
        <v>1.3333333333333333</v>
      </c>
      <c r="L5" s="2" t="s">
        <v>17</v>
      </c>
      <c r="M5" s="5" t="s">
        <v>63</v>
      </c>
      <c r="N5" s="8" t="s">
        <v>41</v>
      </c>
      <c r="O5" s="4">
        <f xml:space="preserve"> (VALUE(LEFT(M5, FIND("/", M5) - 1)) * VALUE(MID(N5, FIND("/", N5) + 1, LEN(N5)))) / (VALUE(MID(M5, FIND("/", M5) + 1, LEN(M5))) * VALUE(LEFT(N5, FIND("/", N5) - 1)))</f>
        <v>1.2222222222222223</v>
      </c>
      <c r="P5" s="8" t="s">
        <v>65</v>
      </c>
      <c r="Q5" s="8" t="s">
        <v>63</v>
      </c>
      <c r="R5" s="4">
        <f t="shared" ref="R5:R19" si="2" xml:space="preserve"> (VALUE(LEFT(P5, FIND("/", P5) - 1)) * VALUE(MID(Q5, FIND("/", Q5) + 1, LEN(Q5)))) / (VALUE(MID(P5, FIND("/", P5) + 1, LEN(P5))) * VALUE(LEFT(Q5, FIND("/", Q5) - 1)))</f>
        <v>1</v>
      </c>
      <c r="S5" s="5" t="s">
        <v>27</v>
      </c>
      <c r="T5" s="8" t="s">
        <v>30</v>
      </c>
      <c r="U5" s="4">
        <f t="shared" ref="U5:U19" si="3" xml:space="preserve"> (VALUE(LEFT(S5, FIND("/", S5) - 1)) * VALUE(MID(T5, FIND("/", T5) + 1, LEN(T5)))) / (VALUE(MID(S5, FIND("/", S5) + 1, LEN(S5))) * VALUE(LEFT(T5, FIND("/", T5) - 1)))</f>
        <v>1.3333333333333333</v>
      </c>
    </row>
    <row r="6" spans="1:21" x14ac:dyDescent="0.3">
      <c r="A6" s="2" t="s">
        <v>6</v>
      </c>
      <c r="B6" s="5" t="s">
        <v>64</v>
      </c>
      <c r="C6" s="8" t="s">
        <v>66</v>
      </c>
      <c r="D6" s="4">
        <f xml:space="preserve"> (VALUE(LEFT(B6, FIND("/", B6) - 1)) * VALUE(MID(C6, FIND("/", C6) + 1, LEN(C6)))) / (VALUE(MID(B6, FIND("/", B6) + 1, LEN(B6))) * VALUE(LEFT(C6, FIND("/", C6) - 1)))</f>
        <v>1.1818181818181819</v>
      </c>
      <c r="E6" s="8" t="s">
        <v>57</v>
      </c>
      <c r="F6" s="8" t="s">
        <v>74</v>
      </c>
      <c r="G6" s="4">
        <f t="shared" si="0"/>
        <v>0.5</v>
      </c>
      <c r="H6" s="5" t="s">
        <v>31</v>
      </c>
      <c r="I6" s="8" t="s">
        <v>32</v>
      </c>
      <c r="J6" s="4">
        <f t="shared" si="1"/>
        <v>1.4285714285714286</v>
      </c>
      <c r="L6" s="2" t="s">
        <v>6</v>
      </c>
      <c r="M6" s="5" t="s">
        <v>64</v>
      </c>
      <c r="N6" s="8" t="s">
        <v>66</v>
      </c>
      <c r="O6" s="4">
        <f xml:space="preserve"> (VALUE(LEFT(M6, FIND("/", M6) - 1)) * VALUE(MID(N6, FIND("/", N6) + 1, LEN(N6)))) / (VALUE(MID(M6, FIND("/", M6) + 1, LEN(M6))) * VALUE(LEFT(N6, FIND("/", N6) - 1)))</f>
        <v>1.1818181818181819</v>
      </c>
      <c r="P6" s="8" t="s">
        <v>57</v>
      </c>
      <c r="Q6" s="8" t="s">
        <v>74</v>
      </c>
      <c r="R6" s="4">
        <f t="shared" si="2"/>
        <v>0.5</v>
      </c>
      <c r="S6" s="5" t="s">
        <v>31</v>
      </c>
      <c r="T6" s="8" t="s">
        <v>32</v>
      </c>
      <c r="U6" s="4">
        <f t="shared" si="3"/>
        <v>1.4285714285714286</v>
      </c>
    </row>
    <row r="7" spans="1:21" x14ac:dyDescent="0.3">
      <c r="A7" s="2" t="s">
        <v>7</v>
      </c>
      <c r="B7" s="5" t="s">
        <v>67</v>
      </c>
      <c r="C7" s="8" t="s">
        <v>41</v>
      </c>
      <c r="D7" s="4">
        <f xml:space="preserve"> (VALUE(LEFT(B7, FIND("/", B7) - 1)) * VALUE(MID(C7, FIND("/", C7) + 1, LEN(C7)))) / (VALUE(MID(B7, FIND("/", B7) + 1, LEN(B7))) * VALUE(LEFT(C7, FIND("/", C7) - 1)))</f>
        <v>1.6296296296296295</v>
      </c>
      <c r="E7" s="8" t="s">
        <v>42</v>
      </c>
      <c r="F7" s="8" t="s">
        <v>68</v>
      </c>
      <c r="G7" s="4">
        <f t="shared" si="0"/>
        <v>0.63636363636363635</v>
      </c>
      <c r="H7" s="5" t="s">
        <v>31</v>
      </c>
      <c r="I7" s="8" t="s">
        <v>33</v>
      </c>
      <c r="J7" s="4">
        <f t="shared" si="1"/>
        <v>0.90909090909090906</v>
      </c>
      <c r="L7" s="2" t="s">
        <v>7</v>
      </c>
      <c r="M7" s="5" t="s">
        <v>67</v>
      </c>
      <c r="N7" s="8" t="s">
        <v>41</v>
      </c>
      <c r="O7" s="4">
        <f xml:space="preserve"> (VALUE(LEFT(M7, FIND("/", M7) - 1)) * VALUE(MID(N7, FIND("/", N7) + 1, LEN(N7)))) / (VALUE(MID(M7, FIND("/", M7) + 1, LEN(M7))) * VALUE(LEFT(N7, FIND("/", N7) - 1)))</f>
        <v>1.6296296296296295</v>
      </c>
      <c r="P7" s="8" t="s">
        <v>42</v>
      </c>
      <c r="Q7" s="8" t="s">
        <v>68</v>
      </c>
      <c r="R7" s="4">
        <f t="shared" si="2"/>
        <v>0.63636363636363635</v>
      </c>
      <c r="S7" s="5" t="s">
        <v>31</v>
      </c>
      <c r="T7" s="8" t="s">
        <v>33</v>
      </c>
      <c r="U7" s="4">
        <f t="shared" si="3"/>
        <v>0.90909090909090906</v>
      </c>
    </row>
    <row r="8" spans="1:21" x14ac:dyDescent="0.3">
      <c r="A8" s="2" t="s">
        <v>8</v>
      </c>
      <c r="B8" s="5" t="s">
        <v>68</v>
      </c>
      <c r="C8" s="8" t="s">
        <v>32</v>
      </c>
      <c r="D8" s="4">
        <f xml:space="preserve"> (VALUE(LEFT(B8, FIND("/", B8) - 1)) * VALUE(MID(C8, FIND("/", C8) + 1, LEN(C8)))) / (VALUE(MID(B8, FIND("/", B8) + 1, LEN(B8))) * VALUE(LEFT(C8, FIND("/", C8) - 1)))</f>
        <v>2.2448979591836733</v>
      </c>
      <c r="E8" s="8" t="s">
        <v>71</v>
      </c>
      <c r="F8" s="8" t="s">
        <v>69</v>
      </c>
      <c r="G8" s="4">
        <f t="shared" si="0"/>
        <v>0.40909090909090912</v>
      </c>
      <c r="H8" s="5" t="s">
        <v>35</v>
      </c>
      <c r="I8" s="8" t="s">
        <v>36</v>
      </c>
      <c r="J8" s="4">
        <f t="shared" si="1"/>
        <v>0.2857142857142857</v>
      </c>
      <c r="L8" s="2" t="s">
        <v>8</v>
      </c>
      <c r="M8" s="5" t="s">
        <v>68</v>
      </c>
      <c r="N8" s="8" t="s">
        <v>32</v>
      </c>
      <c r="O8" s="4">
        <f xml:space="preserve"> (VALUE(LEFT(M8, FIND("/", M8) - 1)) * VALUE(MID(N8, FIND("/", N8) + 1, LEN(N8)))) / (VALUE(MID(M8, FIND("/", M8) + 1, LEN(M8))) * VALUE(LEFT(N8, FIND("/", N8) - 1)))</f>
        <v>2.2448979591836733</v>
      </c>
      <c r="P8" s="8" t="s">
        <v>71</v>
      </c>
      <c r="Q8" s="8" t="s">
        <v>69</v>
      </c>
      <c r="R8" s="4">
        <f t="shared" si="2"/>
        <v>0.40909090909090912</v>
      </c>
      <c r="S8" s="5" t="s">
        <v>35</v>
      </c>
      <c r="T8" s="8" t="s">
        <v>36</v>
      </c>
      <c r="U8" s="4">
        <f t="shared" si="3"/>
        <v>0.2857142857142857</v>
      </c>
    </row>
    <row r="9" spans="1:21" x14ac:dyDescent="0.3">
      <c r="A9" s="2" t="s">
        <v>9</v>
      </c>
      <c r="B9" s="5" t="s">
        <v>72</v>
      </c>
      <c r="C9" s="8" t="s">
        <v>29</v>
      </c>
      <c r="D9" s="4">
        <f xml:space="preserve"> (VALUE(LEFT(B9, FIND("/", B9) - 1)) * VALUE(MID(C9, FIND("/", C9) + 1, LEN(C9)))) / (VALUE(MID(B9, FIND("/", B9) + 1, LEN(B9))) * VALUE(LEFT(C9, FIND("/", C9) - 1)))</f>
        <v>2.3111111111111109</v>
      </c>
      <c r="E9" s="8" t="s">
        <v>38</v>
      </c>
      <c r="F9" s="8" t="s">
        <v>73</v>
      </c>
      <c r="G9" s="4">
        <f t="shared" si="0"/>
        <v>0.54545454545454541</v>
      </c>
      <c r="H9" s="5" t="s">
        <v>34</v>
      </c>
      <c r="I9" s="8" t="s">
        <v>39</v>
      </c>
      <c r="J9" s="4">
        <f t="shared" si="1"/>
        <v>0.21428571428571427</v>
      </c>
      <c r="L9" s="2" t="s">
        <v>9</v>
      </c>
      <c r="M9" s="5" t="s">
        <v>72</v>
      </c>
      <c r="N9" s="8" t="s">
        <v>29</v>
      </c>
      <c r="O9" s="4">
        <f xml:space="preserve"> (VALUE(LEFT(M9, FIND("/", M9) - 1)) * VALUE(MID(N9, FIND("/", N9) + 1, LEN(N9)))) / (VALUE(MID(M9, FIND("/", M9) + 1, LEN(M9))) * VALUE(LEFT(N9, FIND("/", N9) - 1)))</f>
        <v>2.3111111111111109</v>
      </c>
      <c r="P9" s="8" t="s">
        <v>38</v>
      </c>
      <c r="Q9" s="8" t="s">
        <v>73</v>
      </c>
      <c r="R9" s="4">
        <f t="shared" si="2"/>
        <v>0.54545454545454541</v>
      </c>
      <c r="S9" s="5" t="s">
        <v>34</v>
      </c>
      <c r="T9" s="8" t="s">
        <v>39</v>
      </c>
      <c r="U9" s="4">
        <f t="shared" si="3"/>
        <v>0.21428571428571427</v>
      </c>
    </row>
    <row r="10" spans="1:21" x14ac:dyDescent="0.3">
      <c r="A10" s="2" t="s">
        <v>10</v>
      </c>
      <c r="B10" s="5" t="s">
        <v>74</v>
      </c>
      <c r="C10" s="8" t="s">
        <v>75</v>
      </c>
      <c r="D10" s="4">
        <f xml:space="preserve"> (VALUE(LEFT(B10, FIND("/", B10) - 1)) * VALUE(MID(C10, FIND("/", C10) + 1, LEN(C10)))) / (VALUE(MID(B10, FIND("/", B10) + 1, LEN(B10))) * VALUE(LEFT(C10, FIND("/", C10) - 1)))</f>
        <v>2.0408163265306123</v>
      </c>
      <c r="E10" s="8" t="s">
        <v>60</v>
      </c>
      <c r="F10" s="8" t="s">
        <v>74</v>
      </c>
      <c r="G10" s="4">
        <f t="shared" si="0"/>
        <v>0.46666666666666667</v>
      </c>
      <c r="H10" s="5" t="s">
        <v>40</v>
      </c>
      <c r="I10" s="8" t="s">
        <v>43</v>
      </c>
      <c r="J10" s="4">
        <f t="shared" si="1"/>
        <v>0.27272727272727271</v>
      </c>
      <c r="L10" s="2" t="s">
        <v>10</v>
      </c>
      <c r="M10" s="5" t="s">
        <v>74</v>
      </c>
      <c r="N10" s="8" t="s">
        <v>75</v>
      </c>
      <c r="O10" s="4">
        <f xml:space="preserve"> (VALUE(LEFT(M10, FIND("/", M10) - 1)) * VALUE(MID(N10, FIND("/", N10) + 1, LEN(N10)))) / (VALUE(MID(M10, FIND("/", M10) + 1, LEN(M10))) * VALUE(LEFT(N10, FIND("/", N10) - 1)))</f>
        <v>2.0408163265306123</v>
      </c>
      <c r="P10" s="8" t="s">
        <v>60</v>
      </c>
      <c r="Q10" s="8" t="s">
        <v>74</v>
      </c>
      <c r="R10" s="4">
        <f t="shared" si="2"/>
        <v>0.46666666666666667</v>
      </c>
      <c r="S10" s="5" t="s">
        <v>40</v>
      </c>
      <c r="T10" s="8" t="s">
        <v>43</v>
      </c>
      <c r="U10" s="4">
        <f t="shared" si="3"/>
        <v>0.27272727272727271</v>
      </c>
    </row>
    <row r="11" spans="1:21" x14ac:dyDescent="0.3">
      <c r="A11" s="2" t="s">
        <v>11</v>
      </c>
      <c r="B11" s="5" t="s">
        <v>76</v>
      </c>
      <c r="C11" s="8" t="s">
        <v>77</v>
      </c>
      <c r="D11" s="4">
        <f xml:space="preserve"> (VALUE(LEFT(B11, FIND("/", B11) - 1)) * VALUE(MID(C11, FIND("/", C11) + 1, LEN(C11)))) / (VALUE(MID(B11, FIND("/", B11) + 1, LEN(B11))) * VALUE(LEFT(C11, FIND("/", C11) - 1)))</f>
        <v>2.1538461538461537</v>
      </c>
      <c r="E11" s="8" t="s">
        <v>79</v>
      </c>
      <c r="F11" s="8" t="s">
        <v>80</v>
      </c>
      <c r="G11" s="4">
        <f t="shared" si="0"/>
        <v>0.3125</v>
      </c>
      <c r="H11" s="5" t="s">
        <v>44</v>
      </c>
      <c r="I11" s="8" t="s">
        <v>45</v>
      </c>
      <c r="J11" s="4">
        <f t="shared" si="1"/>
        <v>0.44444444444444442</v>
      </c>
      <c r="L11" s="2" t="s">
        <v>11</v>
      </c>
      <c r="M11" s="5" t="s">
        <v>76</v>
      </c>
      <c r="N11" s="8" t="s">
        <v>77</v>
      </c>
      <c r="O11" s="4">
        <f xml:space="preserve"> (VALUE(LEFT(M11, FIND("/", M11) - 1)) * VALUE(MID(N11, FIND("/", N11) + 1, LEN(N11)))) / (VALUE(MID(M11, FIND("/", M11) + 1, LEN(M11))) * VALUE(LEFT(N11, FIND("/", N11) - 1)))</f>
        <v>2.1538461538461537</v>
      </c>
      <c r="P11" s="8" t="s">
        <v>79</v>
      </c>
      <c r="Q11" s="8" t="s">
        <v>80</v>
      </c>
      <c r="R11" s="4">
        <f t="shared" si="2"/>
        <v>0.3125</v>
      </c>
      <c r="S11" s="5" t="s">
        <v>44</v>
      </c>
      <c r="T11" s="8" t="s">
        <v>45</v>
      </c>
      <c r="U11" s="4">
        <f t="shared" si="3"/>
        <v>0.44444444444444442</v>
      </c>
    </row>
    <row r="12" spans="1:21" x14ac:dyDescent="0.3">
      <c r="A12" s="2" t="s">
        <v>12</v>
      </c>
      <c r="B12" s="5" t="s">
        <v>81</v>
      </c>
      <c r="C12" s="8" t="s">
        <v>70</v>
      </c>
      <c r="D12" s="4">
        <f xml:space="preserve"> (VALUE(LEFT(B12, FIND("/", B12) - 1)) * VALUE(MID(C12, FIND("/", C12) + 1, LEN(C12)))) / (VALUE(MID(B12, FIND("/", B12) + 1, LEN(B12))) * VALUE(LEFT(C12, FIND("/", C12) - 1)))</f>
        <v>1.4393939393939394</v>
      </c>
      <c r="E12" s="8" t="s">
        <v>82</v>
      </c>
      <c r="F12" s="8" t="s">
        <v>37</v>
      </c>
      <c r="G12" s="4">
        <f t="shared" si="0"/>
        <v>0.33834586466165412</v>
      </c>
      <c r="H12" s="5" t="s">
        <v>46</v>
      </c>
      <c r="I12" s="8" t="s">
        <v>38</v>
      </c>
      <c r="J12" s="4">
        <f t="shared" si="1"/>
        <v>3.6666666666666665</v>
      </c>
      <c r="L12" s="2" t="s">
        <v>12</v>
      </c>
      <c r="M12" s="5" t="s">
        <v>81</v>
      </c>
      <c r="N12" s="8" t="s">
        <v>70</v>
      </c>
      <c r="O12" s="4">
        <f xml:space="preserve"> (VALUE(LEFT(M12, FIND("/", M12) - 1)) * VALUE(MID(N12, FIND("/", N12) + 1, LEN(N12)))) / (VALUE(MID(M12, FIND("/", M12) + 1, LEN(M12))) * VALUE(LEFT(N12, FIND("/", N12) - 1)))</f>
        <v>1.4393939393939394</v>
      </c>
      <c r="P12" s="8" t="s">
        <v>82</v>
      </c>
      <c r="Q12" s="8" t="s">
        <v>37</v>
      </c>
      <c r="R12" s="4">
        <f t="shared" si="2"/>
        <v>0.33834586466165412</v>
      </c>
      <c r="S12" s="5" t="s">
        <v>46</v>
      </c>
      <c r="T12" s="8" t="s">
        <v>38</v>
      </c>
      <c r="U12" s="4">
        <f t="shared" si="3"/>
        <v>3.6666666666666665</v>
      </c>
    </row>
    <row r="13" spans="1:21" x14ac:dyDescent="0.3">
      <c r="A13" s="2" t="s">
        <v>18</v>
      </c>
      <c r="B13" s="5" t="s">
        <v>83</v>
      </c>
      <c r="C13" s="8" t="s">
        <v>58</v>
      </c>
      <c r="D13" s="4">
        <f xml:space="preserve"> (VALUE(LEFT(B13, FIND("/", B13) - 1)) * VALUE(MID(C13, FIND("/", C13) + 1, LEN(C13)))) / (VALUE(MID(B13, FIND("/", B13) + 1, LEN(B13))) * VALUE(LEFT(C13, FIND("/", C13) - 1)))</f>
        <v>8.1666666666666661</v>
      </c>
      <c r="E13" s="8" t="s">
        <v>58</v>
      </c>
      <c r="F13" s="8" t="s">
        <v>84</v>
      </c>
      <c r="G13" s="4">
        <f t="shared" si="0"/>
        <v>0.15714285714285714</v>
      </c>
      <c r="H13" s="5" t="s">
        <v>47</v>
      </c>
      <c r="I13" s="8" t="s">
        <v>48</v>
      </c>
      <c r="J13" s="4">
        <f t="shared" si="1"/>
        <v>4.25</v>
      </c>
      <c r="L13" s="2" t="s">
        <v>18</v>
      </c>
      <c r="M13" s="5" t="s">
        <v>83</v>
      </c>
      <c r="N13" s="8" t="s">
        <v>58</v>
      </c>
      <c r="O13" s="4">
        <f xml:space="preserve"> (VALUE(LEFT(M13, FIND("/", M13) - 1)) * VALUE(MID(N13, FIND("/", N13) + 1, LEN(N13)))) / (VALUE(MID(M13, FIND("/", M13) + 1, LEN(M13))) * VALUE(LEFT(N13, FIND("/", N13) - 1)))</f>
        <v>8.1666666666666661</v>
      </c>
      <c r="P13" s="8" t="s">
        <v>58</v>
      </c>
      <c r="Q13" s="8" t="s">
        <v>84</v>
      </c>
      <c r="R13" s="4">
        <f t="shared" si="2"/>
        <v>0.15714285714285714</v>
      </c>
      <c r="S13" s="5" t="s">
        <v>47</v>
      </c>
      <c r="T13" s="8" t="s">
        <v>48</v>
      </c>
      <c r="U13" s="4">
        <f t="shared" si="3"/>
        <v>4.25</v>
      </c>
    </row>
    <row r="14" spans="1:21" x14ac:dyDescent="0.3">
      <c r="A14" s="2" t="s">
        <v>19</v>
      </c>
      <c r="B14" s="5" t="s">
        <v>78</v>
      </c>
      <c r="C14" s="8" t="s">
        <v>85</v>
      </c>
      <c r="D14" s="4">
        <f xml:space="preserve"> (VALUE(LEFT(B14, FIND("/", B14) - 1)) * VALUE(MID(C14, FIND("/", C14) + 1, LEN(C14)))) / (VALUE(MID(B14, FIND("/", B14) + 1, LEN(B14))) * VALUE(LEFT(C14, FIND("/", C14) - 1)))</f>
        <v>8.1</v>
      </c>
      <c r="E14" s="8" t="s">
        <v>87</v>
      </c>
      <c r="F14" s="8" t="s">
        <v>86</v>
      </c>
      <c r="G14" s="4">
        <f t="shared" si="0"/>
        <v>0.171875</v>
      </c>
      <c r="H14" s="5" t="s">
        <v>49</v>
      </c>
      <c r="I14" s="8" t="s">
        <v>50</v>
      </c>
      <c r="J14" s="4">
        <f t="shared" si="1"/>
        <v>8.6776859504132234E-2</v>
      </c>
      <c r="L14" s="2" t="s">
        <v>19</v>
      </c>
      <c r="M14" s="5" t="s">
        <v>78</v>
      </c>
      <c r="N14" s="8" t="s">
        <v>85</v>
      </c>
      <c r="O14" s="4">
        <f xml:space="preserve"> (VALUE(LEFT(M14, FIND("/", M14) - 1)) * VALUE(MID(N14, FIND("/", N14) + 1, LEN(N14)))) / (VALUE(MID(M14, FIND("/", M14) + 1, LEN(M14))) * VALUE(LEFT(N14, FIND("/", N14) - 1)))</f>
        <v>8.1</v>
      </c>
      <c r="P14" s="8" t="s">
        <v>87</v>
      </c>
      <c r="Q14" s="8" t="s">
        <v>86</v>
      </c>
      <c r="R14" s="4">
        <f t="shared" si="2"/>
        <v>0.171875</v>
      </c>
      <c r="S14" s="5" t="s">
        <v>49</v>
      </c>
      <c r="T14" s="8" t="s">
        <v>50</v>
      </c>
      <c r="U14" s="4">
        <f t="shared" si="3"/>
        <v>8.6776859504132234E-2</v>
      </c>
    </row>
    <row r="15" spans="1:21" x14ac:dyDescent="0.3">
      <c r="A15" s="2" t="s">
        <v>20</v>
      </c>
      <c r="B15" s="5" t="s">
        <v>88</v>
      </c>
      <c r="C15" s="8" t="s">
        <v>44</v>
      </c>
      <c r="D15" s="4">
        <f xml:space="preserve"> (VALUE(LEFT(B15, FIND("/", B15) - 1)) * VALUE(MID(C15, FIND("/", C15) + 1, LEN(C15)))) / (VALUE(MID(B15, FIND("/", B15) + 1, LEN(B15))) * VALUE(LEFT(C15, FIND("/", C15) - 1)))</f>
        <v>2.4</v>
      </c>
      <c r="E15" s="8" t="s">
        <v>89</v>
      </c>
      <c r="F15" s="8" t="s">
        <v>90</v>
      </c>
      <c r="G15" s="4">
        <f t="shared" si="0"/>
        <v>0.2857142857142857</v>
      </c>
      <c r="H15" s="5" t="s">
        <v>51</v>
      </c>
      <c r="I15" s="8" t="s">
        <v>52</v>
      </c>
      <c r="J15" s="4">
        <f t="shared" si="1"/>
        <v>0.10931174089068826</v>
      </c>
      <c r="L15" s="2" t="s">
        <v>20</v>
      </c>
      <c r="M15" s="5" t="s">
        <v>88</v>
      </c>
      <c r="N15" s="8" t="s">
        <v>44</v>
      </c>
      <c r="O15" s="4">
        <f xml:space="preserve"> (VALUE(LEFT(M15, FIND("/", M15) - 1)) * VALUE(MID(N15, FIND("/", N15) + 1, LEN(N15)))) / (VALUE(MID(M15, FIND("/", M15) + 1, LEN(M15))) * VALUE(LEFT(N15, FIND("/", N15) - 1)))</f>
        <v>2.4</v>
      </c>
      <c r="P15" s="8" t="s">
        <v>89</v>
      </c>
      <c r="Q15" s="8" t="s">
        <v>90</v>
      </c>
      <c r="R15" s="4">
        <f t="shared" si="2"/>
        <v>0.2857142857142857</v>
      </c>
      <c r="S15" s="5" t="s">
        <v>51</v>
      </c>
      <c r="T15" s="8" t="s">
        <v>52</v>
      </c>
      <c r="U15" s="4">
        <f t="shared" si="3"/>
        <v>0.10931174089068826</v>
      </c>
    </row>
    <row r="16" spans="1:21" x14ac:dyDescent="0.3">
      <c r="A16" s="2" t="s">
        <v>21</v>
      </c>
      <c r="B16" s="5" t="s">
        <v>78</v>
      </c>
      <c r="C16" s="8" t="s">
        <v>91</v>
      </c>
      <c r="D16" s="4">
        <f xml:space="preserve"> (VALUE(LEFT(B16, FIND("/", B16) - 1)) * VALUE(MID(C16, FIND("/", C16) + 1, LEN(C16)))) / (VALUE(MID(B16, FIND("/", B16) + 1, LEN(B16))) * VALUE(LEFT(C16, FIND("/", C16) - 1)))</f>
        <v>6.1363636363636367</v>
      </c>
      <c r="E16" s="8" t="s">
        <v>93</v>
      </c>
      <c r="F16" s="12" t="s">
        <v>92</v>
      </c>
      <c r="G16" s="4">
        <f t="shared" si="0"/>
        <v>3.8571428571428572</v>
      </c>
      <c r="H16" s="5" t="s">
        <v>49</v>
      </c>
      <c r="I16" s="8" t="s">
        <v>53</v>
      </c>
      <c r="J16" s="4">
        <f t="shared" si="1"/>
        <v>0.11931818181818182</v>
      </c>
      <c r="L16" s="2" t="s">
        <v>21</v>
      </c>
      <c r="M16" s="5" t="s">
        <v>78</v>
      </c>
      <c r="N16" s="8" t="s">
        <v>91</v>
      </c>
      <c r="O16" s="4">
        <f xml:space="preserve"> (VALUE(LEFT(M16, FIND("/", M16) - 1)) * VALUE(MID(N16, FIND("/", N16) + 1, LEN(N16)))) / (VALUE(MID(M16, FIND("/", M16) + 1, LEN(M16))) * VALUE(LEFT(N16, FIND("/", N16) - 1)))</f>
        <v>6.1363636363636367</v>
      </c>
      <c r="P16" s="8" t="s">
        <v>93</v>
      </c>
      <c r="Q16" s="12" t="s">
        <v>92</v>
      </c>
      <c r="R16" s="4">
        <f t="shared" si="2"/>
        <v>3.8571428571428572</v>
      </c>
      <c r="S16" s="5" t="s">
        <v>49</v>
      </c>
      <c r="T16" s="8" t="s">
        <v>53</v>
      </c>
      <c r="U16" s="4">
        <f t="shared" si="3"/>
        <v>0.11931818181818182</v>
      </c>
    </row>
    <row r="17" spans="1:21" x14ac:dyDescent="0.3">
      <c r="A17" s="2" t="s">
        <v>22</v>
      </c>
      <c r="B17" s="5" t="s">
        <v>94</v>
      </c>
      <c r="C17" s="12" t="s">
        <v>92</v>
      </c>
      <c r="D17" s="4">
        <f xml:space="preserve"> (VALUE(LEFT(B17, FIND("/", B17) - 1)) * VALUE(MID(C17, FIND("/", C17) + 1, LEN(C17)))) / (VALUE(MID(B17, FIND("/", B17) + 1, LEN(B17))) * VALUE(LEFT(C17, FIND("/", C17) - 1)))</f>
        <v>22.5</v>
      </c>
      <c r="E17" s="12" t="s">
        <v>92</v>
      </c>
      <c r="F17" s="8" t="s">
        <v>96</v>
      </c>
      <c r="G17" s="4">
        <f t="shared" si="0"/>
        <v>4.5138888888888888E-2</v>
      </c>
      <c r="H17" s="5" t="s">
        <v>54</v>
      </c>
      <c r="I17" s="8" t="s">
        <v>55</v>
      </c>
      <c r="J17" s="4">
        <f t="shared" si="1"/>
        <v>6.0606060606060608E-2</v>
      </c>
      <c r="L17" s="2" t="s">
        <v>22</v>
      </c>
      <c r="M17" s="5" t="s">
        <v>94</v>
      </c>
      <c r="N17" s="12" t="s">
        <v>92</v>
      </c>
      <c r="O17" s="4">
        <f xml:space="preserve"> (VALUE(LEFT(M17, FIND("/", M17) - 1)) * VALUE(MID(N17, FIND("/", N17) + 1, LEN(N17)))) / (VALUE(MID(M17, FIND("/", M17) + 1, LEN(M17))) * VALUE(LEFT(N17, FIND("/", N17) - 1)))</f>
        <v>22.5</v>
      </c>
      <c r="P17" s="12" t="s">
        <v>92</v>
      </c>
      <c r="Q17" s="8" t="s">
        <v>96</v>
      </c>
      <c r="R17" s="4">
        <f t="shared" si="2"/>
        <v>4.5138888888888888E-2</v>
      </c>
      <c r="S17" s="5" t="s">
        <v>54</v>
      </c>
      <c r="T17" s="8" t="s">
        <v>55</v>
      </c>
      <c r="U17" s="4">
        <f t="shared" si="3"/>
        <v>6.0606060606060608E-2</v>
      </c>
    </row>
    <row r="18" spans="1:21" x14ac:dyDescent="0.3">
      <c r="A18" s="2" t="s">
        <v>23</v>
      </c>
      <c r="B18" s="5" t="s">
        <v>95</v>
      </c>
      <c r="C18" s="8" t="s">
        <v>98</v>
      </c>
      <c r="D18" s="4">
        <f xml:space="preserve"> (VALUE(LEFT(B18, FIND("/", B18) - 1)) * VALUE(MID(C18, FIND("/", C18) + 1, LEN(C18)))) / (VALUE(MID(B18, FIND("/", B18) + 1, LEN(B18))) * VALUE(LEFT(C18, FIND("/", C18) - 1)))</f>
        <v>0.52991452991452992</v>
      </c>
      <c r="E18" s="8" t="s">
        <v>99</v>
      </c>
      <c r="F18" s="8" t="s">
        <v>56</v>
      </c>
      <c r="G18" s="4">
        <f t="shared" si="0"/>
        <v>9.5588235294117641E-2</v>
      </c>
      <c r="H18" s="5" t="s">
        <v>56</v>
      </c>
      <c r="I18" s="8" t="s">
        <v>57</v>
      </c>
      <c r="J18" s="4">
        <f t="shared" si="1"/>
        <v>5.6</v>
      </c>
      <c r="L18" s="2" t="s">
        <v>23</v>
      </c>
      <c r="M18" s="5" t="s">
        <v>95</v>
      </c>
      <c r="N18" s="8" t="s">
        <v>98</v>
      </c>
      <c r="O18" s="4">
        <f xml:space="preserve"> (VALUE(LEFT(M18, FIND("/", M18) - 1)) * VALUE(MID(N18, FIND("/", N18) + 1, LEN(N18)))) / (VALUE(MID(M18, FIND("/", M18) + 1, LEN(M18))) * VALUE(LEFT(N18, FIND("/", N18) - 1)))</f>
        <v>0.52991452991452992</v>
      </c>
      <c r="P18" s="8" t="s">
        <v>99</v>
      </c>
      <c r="Q18" s="8" t="s">
        <v>56</v>
      </c>
      <c r="R18" s="4">
        <f t="shared" si="2"/>
        <v>9.5588235294117641E-2</v>
      </c>
      <c r="S18" s="5" t="s">
        <v>56</v>
      </c>
      <c r="T18" s="8" t="s">
        <v>57</v>
      </c>
      <c r="U18" s="4">
        <f t="shared" si="3"/>
        <v>5.6</v>
      </c>
    </row>
    <row r="19" spans="1:21" ht="15" thickBot="1" x14ac:dyDescent="0.35">
      <c r="A19" s="3" t="s">
        <v>24</v>
      </c>
      <c r="B19" s="9" t="s">
        <v>100</v>
      </c>
      <c r="C19" s="10" t="s">
        <v>97</v>
      </c>
      <c r="D19" s="4">
        <f xml:space="preserve"> (VALUE(LEFT(B19, FIND("/", B19) - 1)) * VALUE(MID(C19, FIND("/", C19) + 1, LEN(C19)))) / (VALUE(MID(B19, FIND("/", B19) + 1, LEN(B19))) * VALUE(LEFT(C19, FIND("/", C19) - 1)))</f>
        <v>7</v>
      </c>
      <c r="E19" s="10" t="s">
        <v>48</v>
      </c>
      <c r="F19" s="9" t="s">
        <v>100</v>
      </c>
      <c r="G19" s="4">
        <f t="shared" si="0"/>
        <v>0.19047619047619047</v>
      </c>
      <c r="H19" s="9" t="s">
        <v>58</v>
      </c>
      <c r="I19" s="10" t="s">
        <v>59</v>
      </c>
      <c r="J19" s="4">
        <f t="shared" si="1"/>
        <v>0.11688311688311688</v>
      </c>
      <c r="L19" s="3" t="s">
        <v>24</v>
      </c>
      <c r="M19" s="9" t="s">
        <v>100</v>
      </c>
      <c r="N19" s="10" t="s">
        <v>97</v>
      </c>
      <c r="O19" s="4">
        <f xml:space="preserve"> (VALUE(LEFT(M19, FIND("/", M19) - 1)) * VALUE(MID(N19, FIND("/", N19) + 1, LEN(N19)))) / (VALUE(MID(M19, FIND("/", M19) + 1, LEN(M19))) * VALUE(LEFT(N19, FIND("/", N19) - 1)))</f>
        <v>7</v>
      </c>
      <c r="P19" s="10" t="s">
        <v>48</v>
      </c>
      <c r="Q19" s="9" t="s">
        <v>100</v>
      </c>
      <c r="R19" s="4">
        <f t="shared" si="2"/>
        <v>0.19047619047619047</v>
      </c>
      <c r="S19" s="9" t="s">
        <v>58</v>
      </c>
      <c r="T19" s="10" t="s">
        <v>59</v>
      </c>
      <c r="U19" s="4">
        <f t="shared" si="3"/>
        <v>0.11688311688311688</v>
      </c>
    </row>
  </sheetData>
  <mergeCells count="10">
    <mergeCell ref="M1:R1"/>
    <mergeCell ref="S1:U1"/>
    <mergeCell ref="M2:O2"/>
    <mergeCell ref="P2:R2"/>
    <mergeCell ref="S2:U2"/>
    <mergeCell ref="B1:G1"/>
    <mergeCell ref="H1:J1"/>
    <mergeCell ref="B2:D2"/>
    <mergeCell ref="E2:G2"/>
    <mergeCell ref="H2:J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Harshkumar Nileshbhai Vasoya</dc:creator>
  <cp:lastModifiedBy>Harshkumar Nileshbhai Vasoya</cp:lastModifiedBy>
  <dcterms:created xsi:type="dcterms:W3CDTF">2024-11-06T12:02:51Z</dcterms:created>
  <dcterms:modified xsi:type="dcterms:W3CDTF">2024-11-07T11:23:05Z</dcterms:modified>
</cp:coreProperties>
</file>